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/project portfolio/"/>
    </mc:Choice>
  </mc:AlternateContent>
  <xr:revisionPtr revIDLastSave="0" documentId="13_ncr:1_{E9A6CB7B-2CC2-0145-AD4B-5CDDA115C553}" xr6:coauthVersionLast="47" xr6:coauthVersionMax="47" xr10:uidLastSave="{00000000-0000-0000-0000-000000000000}"/>
  <bookViews>
    <workbookView xWindow="0" yWindow="660" windowWidth="29400" windowHeight="18460" xr2:uid="{637DF87A-F32D-6548-9963-38DECB3CA5B3}"/>
  </bookViews>
  <sheets>
    <sheet name="Risks" sheetId="1" r:id="rId1"/>
    <sheet name="AID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8" i="1"/>
  <c r="H9" i="1"/>
  <c r="H7" i="1"/>
</calcChain>
</file>

<file path=xl/sharedStrings.xml><?xml version="1.0" encoding="utf-8"?>
<sst xmlns="http://schemas.openxmlformats.org/spreadsheetml/2006/main" count="162" uniqueCount="106">
  <si>
    <t>ID</t>
  </si>
  <si>
    <t xml:space="preserve">Risk </t>
  </si>
  <si>
    <t>R-01</t>
  </si>
  <si>
    <t>R-02</t>
  </si>
  <si>
    <t>R-03</t>
  </si>
  <si>
    <t>R-04</t>
  </si>
  <si>
    <t>R-05</t>
  </si>
  <si>
    <t>R-06</t>
  </si>
  <si>
    <t>R-07</t>
  </si>
  <si>
    <t>R-08</t>
  </si>
  <si>
    <t>Score</t>
  </si>
  <si>
    <t>Mitigation</t>
  </si>
  <si>
    <t>Owner</t>
  </si>
  <si>
    <t>Use staff feedback, workflow observation, and targeted support to identify and address adoption barriers</t>
  </si>
  <si>
    <t>Develop role-specific guidance and monitor staff-reported confidence during pilot</t>
  </si>
  <si>
    <t>Identify patient-facing friction points and retain an appropriate assisted process during the pilot</t>
  </si>
  <si>
    <t>Track duplicate manual re-entry and investigate recurring workflow or technical causes with IT</t>
  </si>
  <si>
    <t>Schedule short, targeted feedback sessions and use representatives from affected roles</t>
  </si>
  <si>
    <t>Define KPI measurement rules before monitoring and use consistent reporting throughout the pilot</t>
  </si>
  <si>
    <t>Assess remaining barriers and provide leadership with specific continuation, ownership, and monitoring recommendations</t>
  </si>
  <si>
    <t>PC + COL</t>
  </si>
  <si>
    <t>COL + CAR</t>
  </si>
  <si>
    <t>PC + CAR</t>
  </si>
  <si>
    <t>PC + IT</t>
  </si>
  <si>
    <t>PC</t>
  </si>
  <si>
    <t>PC + ES</t>
  </si>
  <si>
    <t>Category</t>
  </si>
  <si>
    <t>Adoption</t>
  </si>
  <si>
    <t>Operational</t>
  </si>
  <si>
    <t>People</t>
  </si>
  <si>
    <t>Data</t>
  </si>
  <si>
    <t>Sustainability</t>
  </si>
  <si>
    <t>Staff continue using paper/manual inatke</t>
  </si>
  <si>
    <t>Workflow changes create additional work or delays in check-in</t>
  </si>
  <si>
    <t>Patients struggle with digital intake</t>
  </si>
  <si>
    <t>Duplicate/manual data entry persists</t>
  </si>
  <si>
    <t>Limited staff availability for feedback</t>
  </si>
  <si>
    <t>Inconsistent KPI data limits comparison</t>
  </si>
  <si>
    <t>Adoption declines after pilot closeout</t>
  </si>
  <si>
    <t>Insufficient training/ support</t>
  </si>
  <si>
    <t>Likelihood (1-5)</t>
  </si>
  <si>
    <t>Impact   (1-5)</t>
  </si>
  <si>
    <t>Validate proposed changes with frontline staff before implementaion and monitor check-in time during the pilot</t>
  </si>
  <si>
    <t>Rating</t>
  </si>
  <si>
    <t>Critical</t>
  </si>
  <si>
    <t>High</t>
  </si>
  <si>
    <t>Medium</t>
  </si>
  <si>
    <t>Status</t>
  </si>
  <si>
    <t>Open</t>
  </si>
  <si>
    <t>High priority</t>
  </si>
  <si>
    <t>In progress</t>
  </si>
  <si>
    <t>Risk Rating</t>
  </si>
  <si>
    <t>Low: 1-4</t>
  </si>
  <si>
    <t>Medium: 5-9</t>
  </si>
  <si>
    <t>High: 10-16</t>
  </si>
  <si>
    <t>Critical: 17-25</t>
  </si>
  <si>
    <t>A-01</t>
  </si>
  <si>
    <t>A-02</t>
  </si>
  <si>
    <t>A-03</t>
  </si>
  <si>
    <t>A-04</t>
  </si>
  <si>
    <t>Existing digital intake workflow remains available during the pilot</t>
  </si>
  <si>
    <t>Staff representatives are available for workflow validation and feedback</t>
  </si>
  <si>
    <t>Baseline and pilot data can be collected using consistent KPI definitions</t>
  </si>
  <si>
    <t>Clinic leadership supports the proposed workflow changes</t>
  </si>
  <si>
    <t>Confirm availability before pilot</t>
  </si>
  <si>
    <t>Confirm representatives and availability</t>
  </si>
  <si>
    <t>Finalize KPI measurement rules</t>
  </si>
  <si>
    <t>Confirm approval before implementation</t>
  </si>
  <si>
    <t>IT</t>
  </si>
  <si>
    <t>COL + PC</t>
  </si>
  <si>
    <t>COL + ES</t>
  </si>
  <si>
    <t>I-01</t>
  </si>
  <si>
    <t>I-02</t>
  </si>
  <si>
    <t>I-03</t>
  </si>
  <si>
    <t>I-04</t>
  </si>
  <si>
    <t>Staff feedback identified friction in the revised intake workflow</t>
  </si>
  <si>
    <t>Manual re-entry remained after digital submission</t>
  </si>
  <si>
    <t>Staff confidence varied across roles</t>
  </si>
  <si>
    <t>Some patients required additional assistance with digital intake</t>
  </si>
  <si>
    <t>Action</t>
  </si>
  <si>
    <t>Review feedback and prioritize workflow adjustment</t>
  </si>
  <si>
    <t>Trace workflow and identify source of re-entry</t>
  </si>
  <si>
    <t>Provide targeted guidance and reassess confidence</t>
  </si>
  <si>
    <t>Identify common friction points and refine support approach</t>
  </si>
  <si>
    <t>IT + PC</t>
  </si>
  <si>
    <t>CAR + PC</t>
  </si>
  <si>
    <t>D-01</t>
  </si>
  <si>
    <t>D-02</t>
  </si>
  <si>
    <t>D-03</t>
  </si>
  <si>
    <t>D-04</t>
  </si>
  <si>
    <t>Pilot workflow changes require IT support</t>
  </si>
  <si>
    <t>KPI monitoring requires consistent adoption and check-in data</t>
  </si>
  <si>
    <t>Workflow validation requires participation from frontline representatives</t>
  </si>
  <si>
    <t>Executive recommendations depend on validated pilot findings</t>
  </si>
  <si>
    <t>COL + IT</t>
  </si>
  <si>
    <t>Description</t>
  </si>
  <si>
    <t>Impact</t>
  </si>
  <si>
    <t>Type</t>
  </si>
  <si>
    <t>Assumption</t>
  </si>
  <si>
    <t>Issue</t>
  </si>
  <si>
    <t>Dependency</t>
  </si>
  <si>
    <t xml:space="preserve">Confirm IT availability </t>
  </si>
  <si>
    <t>Confirm data collection approach</t>
  </si>
  <si>
    <t>Confirm staff availability</t>
  </si>
  <si>
    <t xml:space="preserve">Confirm KPI results and staff feedback are available 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</si>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</sst>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harter Roman"/>
    </font>
    <font>
      <sz val="12"/>
      <color theme="1"/>
      <name val="Charter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33">
    <dxf>
      <font>
        <color theme="1"/>
      </font>
      <fill>
        <patternFill>
          <bgColor rgb="FFFF7873"/>
        </patternFill>
      </fill>
    </dxf>
    <dxf>
      <font>
        <color theme="5" tint="-0.24994659260841701"/>
      </font>
      <fill>
        <patternFill>
          <bgColor rgb="FFFFB359"/>
        </patternFill>
      </fill>
    </dxf>
    <dxf>
      <font>
        <color theme="5" tint="-0.499984740745262"/>
      </font>
      <fill>
        <patternFill>
          <bgColor rgb="FFFBAC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7873"/>
        </patternFill>
      </fill>
    </dxf>
    <dxf>
      <font>
        <color theme="5" tint="-0.24994659260841701"/>
      </font>
      <fill>
        <patternFill>
          <bgColor rgb="FFFFB359"/>
        </patternFill>
      </fill>
    </dxf>
    <dxf>
      <font>
        <color theme="5" tint="-0.499984740745262"/>
      </font>
      <fill>
        <patternFill>
          <bgColor rgb="FFFBAC00"/>
        </patternFill>
      </fill>
    </dxf>
    <dxf>
      <font>
        <color rgb="FF9C5700"/>
      </font>
      <fill>
        <patternFill>
          <bgColor rgb="FFFFEB9C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harter Roman"/>
        <scheme val="none"/>
      </font>
      <alignment horizontal="center" vertical="bottom" textRotation="0" wrapText="0" indent="0" justifyLastLine="0" shrinkToFit="0" readingOrder="0"/>
    </dxf>
    <dxf>
      <font>
        <b/>
        <i val="0"/>
        <u val="none"/>
      </font>
    </dxf>
  </dxfs>
  <tableStyles count="1" defaultTableStyle="TableStyleMedium2" defaultPivotStyle="PivotStyleLight16">
    <tableStyle name="Table Style 1" pivot="0" count="1" xr9:uid="{ACB35FDB-1388-1648-B9C4-8B856357B9EE}">
      <tableStyleElement type="firstColumnStripe" size="2" dxfId="32"/>
    </tableStyle>
  </tableStyles>
  <colors>
    <mruColors>
      <color rgb="FFFF7873"/>
      <color rgb="FFFE5A66"/>
      <color rgb="FFFF4651"/>
      <color rgb="FFFF4100"/>
      <color rgb="FFFF8600"/>
      <color rgb="FFFBAC00"/>
      <color rgb="FFFFC200"/>
      <color rgb="FFFFB359"/>
      <color rgb="FFFF360A"/>
      <color rgb="FFF4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9338</xdr:colOff>
      <xdr:row>1</xdr:row>
      <xdr:rowOff>9339</xdr:rowOff>
    </xdr:from>
    <xdr:to>
      <xdr:col>12</xdr:col>
      <xdr:colOff>10160</xdr:colOff>
      <xdr:row>3</xdr:row>
      <xdr:rowOff>209485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99984F-6673-3C7B-A6FA-F20866684E0C}"/>
            </a:ext>
          </a:extLst>
        </xdr:cNvPr>
        <xdr:cNvSpPr/>
      </xdr:nvSpPr>
      <xdr:spPr>
        <a:xfrm>
          <a:off x="1632843" y="258102"/>
          <a:ext cx="12334224" cy="77622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Georgia" panose="02040502050405020303" pitchFamily="18" charset="0"/>
            </a:rPr>
            <a:t>RISK</a:t>
          </a:r>
          <a:r>
            <a:rPr lang="en-US" sz="2400" b="1" baseline="0">
              <a:solidFill>
                <a:schemeClr val="tx1"/>
              </a:solidFill>
              <a:latin typeface="Georgia" panose="02040502050405020303" pitchFamily="18" charset="0"/>
            </a:rPr>
            <a:t> REGISTER</a:t>
          </a:r>
          <a:endParaRPr lang="en-US" sz="2400" b="1">
            <a:solidFill>
              <a:schemeClr val="tx1"/>
            </a:solidFill>
            <a:latin typeface="Georgia" panose="02040502050405020303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0</xdr:colOff>
      <xdr:row>4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246F1A-6E20-5040-AFA6-E45B8B3C5F67}"/>
            </a:ext>
          </a:extLst>
        </xdr:cNvPr>
        <xdr:cNvSpPr/>
      </xdr:nvSpPr>
      <xdr:spPr>
        <a:xfrm>
          <a:off x="1660769" y="205154"/>
          <a:ext cx="8587154" cy="76786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  <a:latin typeface="Georgia" panose="02040502050405020303" pitchFamily="18" charset="0"/>
            </a:rPr>
            <a:t>Assumptions, Issues and Dependencies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85B71-D826-AF45-AB6D-968BD3E03F00}" name="Risk_Register" displayName="Risk_Register" ref="C6:L14" totalsRowShown="0" headerRowDxfId="22" dataDxfId="21">
  <autoFilter ref="C6:L14" xr:uid="{31E85B71-D826-AF45-AB6D-968BD3E03F00}"/>
  <tableColumns count="10">
    <tableColumn id="1" xr3:uid="{CFFD6E8A-A4AA-8340-8900-69AF277FAC23}" name="ID" dataDxfId="20"/>
    <tableColumn id="2" xr3:uid="{14093F55-1406-164D-8AB9-B353FEAAB4E5}" name="Risk " dataDxfId="19"/>
    <tableColumn id="9" xr3:uid="{AF2BAE43-49CF-7A44-9EFB-EEE03B990996}" name="Category" dataDxfId="18"/>
    <tableColumn id="3" xr3:uid="{43BAB847-34C2-514C-826C-2755122BBBA3}" name="Likelihood (1-5)" dataDxfId="17"/>
    <tableColumn id="4" xr3:uid="{F0B8381B-E80A-FB4A-BD59-CFA6D54A70B8}" name="Impact   (1-5)" dataDxfId="16"/>
    <tableColumn id="5" xr3:uid="{6B89500B-07CB-DF45-9F7C-12AA65E7E94C}" name="Score" dataDxfId="15">
      <calculatedColumnFormula>PRODUCT(F7:G7)</calculatedColumnFormula>
    </tableColumn>
    <tableColumn id="10" xr3:uid="{04AB9F72-ADDF-4B48-A2E5-D203F530B10F}" name="Rating" dataDxfId="14"/>
    <tableColumn id="6" xr3:uid="{16460640-4917-2049-9022-6E8FD97E1F43}" name="Mitigation" dataDxfId="13"/>
    <tableColumn id="7" xr3:uid="{2EB7C4A9-F83B-274D-9594-7C33F0A10DDF}" name="Owner" dataDxfId="12"/>
    <tableColumn id="11" xr3:uid="{EF65B62D-034E-C146-B424-8E3F30853C11}" name="Status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B4235-5260-BD43-B190-AF2D566F18FA}" name="Table2" displayName="Table2" ref="D19:D23" totalsRowShown="0" headerRowDxfId="10" dataDxfId="9">
  <tableColumns count="1">
    <tableColumn id="1" xr3:uid="{02EDADEA-8443-914B-A642-4C8E219B69FB}" name="Risk Rating" dataDxfId="8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70F60E-5395-3448-937C-4B5CC29483B1}" name="Risk_Register4" displayName="Risk_Register4" ref="C6:I18" totalsRowShown="0" headerRowDxfId="31" dataDxfId="30">
  <autoFilter ref="C6:I18" xr:uid="{0E70F60E-5395-3448-937C-4B5CC29483B1}"/>
  <tableColumns count="7">
    <tableColumn id="1" xr3:uid="{DA61C8DE-8DFB-2343-82C2-E3995DF27525}" name="ID" dataDxfId="29"/>
    <tableColumn id="3" xr3:uid="{CC32FE6E-59A4-D04D-A9AD-83F6833ABEDC}" name="Type" dataDxfId="28"/>
    <tableColumn id="2" xr3:uid="{1F4DA48E-9964-D344-A380-E12596ED7AFB}" name="Description" dataDxfId="27"/>
    <tableColumn id="10" xr3:uid="{17264E06-81BF-5047-8E04-555819F15A46}" name="Impact" dataDxfId="26"/>
    <tableColumn id="6" xr3:uid="{C07C978E-58F2-3D4F-8C2E-AEC4753820EA}" name="Action" dataDxfId="25"/>
    <tableColumn id="7" xr3:uid="{C0633ABD-3CAA-A14B-9C12-471D45DA12F7}" name="Owner" dataDxfId="24"/>
    <tableColumn id="11" xr3:uid="{9CB7A178-81B4-7342-9C7D-8278A25DCBB6}" name="Status" dataDxfId="2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02C8-A83B-FF43-867B-B0976962CF09}">
  <dimension ref="B1:L23"/>
  <sheetViews>
    <sheetView tabSelected="1" topLeftCell="B1" zoomScale="97" zoomScaleNormal="97" workbookViewId="0">
      <selection activeCell="P6" sqref="P6"/>
    </sheetView>
  </sheetViews>
  <sheetFormatPr baseColWidth="10" defaultRowHeight="16"/>
  <cols>
    <col min="2" max="2" width="10.5" style="1" customWidth="1"/>
    <col min="3" max="3" width="13" style="2" customWidth="1"/>
    <col min="4" max="4" width="24" style="1" customWidth="1"/>
    <col min="5" max="5" width="18" style="7" customWidth="1"/>
    <col min="6" max="6" width="11.5" style="1" customWidth="1"/>
    <col min="7" max="7" width="10.5" style="1" customWidth="1"/>
    <col min="8" max="9" width="12" style="2" customWidth="1"/>
    <col min="10" max="10" width="33.83203125" style="1" customWidth="1"/>
    <col min="11" max="11" width="13.33203125" customWidth="1"/>
    <col min="12" max="12" width="13.33203125" style="7" customWidth="1"/>
  </cols>
  <sheetData>
    <row r="1" spans="3:12" ht="20" customHeight="1"/>
    <row r="2" spans="3:12" ht="22" customHeight="1"/>
    <row r="3" spans="3:12" ht="24" customHeight="1"/>
    <row r="4" spans="3:12" ht="20" customHeight="1"/>
    <row r="5" spans="3:12" ht="22" customHeight="1"/>
    <row r="6" spans="3:12" ht="45" customHeight="1">
      <c r="C6" s="3" t="s">
        <v>0</v>
      </c>
      <c r="D6" s="3" t="s">
        <v>1</v>
      </c>
      <c r="E6" s="3" t="s">
        <v>26</v>
      </c>
      <c r="F6" s="6" t="s">
        <v>40</v>
      </c>
      <c r="G6" s="6" t="s">
        <v>41</v>
      </c>
      <c r="H6" s="3" t="s">
        <v>10</v>
      </c>
      <c r="I6" s="3" t="s">
        <v>43</v>
      </c>
      <c r="J6" s="3" t="s">
        <v>11</v>
      </c>
      <c r="K6" s="3" t="s">
        <v>12</v>
      </c>
      <c r="L6" s="3" t="s">
        <v>47</v>
      </c>
    </row>
    <row r="7" spans="3:12" ht="74" customHeight="1">
      <c r="C7" s="4" t="s">
        <v>2</v>
      </c>
      <c r="D7" s="5" t="s">
        <v>32</v>
      </c>
      <c r="E7" s="8" t="s">
        <v>27</v>
      </c>
      <c r="F7" s="4">
        <v>4</v>
      </c>
      <c r="G7" s="4">
        <v>5</v>
      </c>
      <c r="H7" s="4">
        <f>PRODUCT(F7:G7)</f>
        <v>20</v>
      </c>
      <c r="I7" s="4" t="s">
        <v>44</v>
      </c>
      <c r="J7" s="5" t="s">
        <v>13</v>
      </c>
      <c r="K7" s="4" t="s">
        <v>20</v>
      </c>
      <c r="L7" s="4" t="s">
        <v>49</v>
      </c>
    </row>
    <row r="8" spans="3:12" ht="68" customHeight="1">
      <c r="C8" s="4" t="s">
        <v>3</v>
      </c>
      <c r="D8" s="5" t="s">
        <v>33</v>
      </c>
      <c r="E8" s="8" t="s">
        <v>28</v>
      </c>
      <c r="F8" s="4">
        <v>3</v>
      </c>
      <c r="G8" s="4">
        <v>5</v>
      </c>
      <c r="H8" s="4">
        <f t="shared" ref="H8:H14" si="0">PRODUCT(F8:G8)</f>
        <v>15</v>
      </c>
      <c r="I8" s="4" t="s">
        <v>45</v>
      </c>
      <c r="J8" s="5" t="s">
        <v>42</v>
      </c>
      <c r="K8" s="4" t="s">
        <v>21</v>
      </c>
      <c r="L8" s="4" t="s">
        <v>50</v>
      </c>
    </row>
    <row r="9" spans="3:12" ht="60" customHeight="1">
      <c r="C9" s="4" t="s">
        <v>4</v>
      </c>
      <c r="D9" s="5" t="s">
        <v>39</v>
      </c>
      <c r="E9" s="8" t="s">
        <v>29</v>
      </c>
      <c r="F9" s="4">
        <v>4</v>
      </c>
      <c r="G9" s="4">
        <v>4</v>
      </c>
      <c r="H9" s="4">
        <f t="shared" si="0"/>
        <v>16</v>
      </c>
      <c r="I9" s="4" t="s">
        <v>45</v>
      </c>
      <c r="J9" s="5" t="s">
        <v>14</v>
      </c>
      <c r="K9" s="4" t="s">
        <v>22</v>
      </c>
      <c r="L9" s="4" t="s">
        <v>48</v>
      </c>
    </row>
    <row r="10" spans="3:12" ht="73" customHeight="1">
      <c r="C10" s="4" t="s">
        <v>5</v>
      </c>
      <c r="D10" s="5" t="s">
        <v>34</v>
      </c>
      <c r="E10" s="8" t="s">
        <v>27</v>
      </c>
      <c r="F10" s="4">
        <v>3</v>
      </c>
      <c r="G10" s="4">
        <v>4</v>
      </c>
      <c r="H10" s="4">
        <f t="shared" si="0"/>
        <v>12</v>
      </c>
      <c r="I10" s="4" t="s">
        <v>45</v>
      </c>
      <c r="J10" s="5" t="s">
        <v>15</v>
      </c>
      <c r="K10" s="4" t="s">
        <v>21</v>
      </c>
      <c r="L10" s="4" t="s">
        <v>50</v>
      </c>
    </row>
    <row r="11" spans="3:12" ht="74" customHeight="1">
      <c r="C11" s="4" t="s">
        <v>6</v>
      </c>
      <c r="D11" s="5" t="s">
        <v>35</v>
      </c>
      <c r="E11" s="8" t="s">
        <v>28</v>
      </c>
      <c r="F11" s="4">
        <v>3</v>
      </c>
      <c r="G11" s="4">
        <v>4</v>
      </c>
      <c r="H11" s="4">
        <f t="shared" si="0"/>
        <v>12</v>
      </c>
      <c r="I11" s="4" t="s">
        <v>45</v>
      </c>
      <c r="J11" s="5" t="s">
        <v>16</v>
      </c>
      <c r="K11" s="4" t="s">
        <v>23</v>
      </c>
      <c r="L11" s="4" t="s">
        <v>50</v>
      </c>
    </row>
    <row r="12" spans="3:12" ht="66" customHeight="1">
      <c r="C12" s="4" t="s">
        <v>7</v>
      </c>
      <c r="D12" s="5" t="s">
        <v>36</v>
      </c>
      <c r="E12" s="8" t="s">
        <v>29</v>
      </c>
      <c r="F12" s="4">
        <v>3</v>
      </c>
      <c r="G12" s="4">
        <v>3</v>
      </c>
      <c r="H12" s="4">
        <f t="shared" si="0"/>
        <v>9</v>
      </c>
      <c r="I12" s="4" t="s">
        <v>46</v>
      </c>
      <c r="J12" s="5" t="s">
        <v>17</v>
      </c>
      <c r="K12" s="4" t="s">
        <v>22</v>
      </c>
      <c r="L12" s="4" t="s">
        <v>105</v>
      </c>
    </row>
    <row r="13" spans="3:12" ht="74" customHeight="1">
      <c r="C13" s="4" t="s">
        <v>8</v>
      </c>
      <c r="D13" s="5" t="s">
        <v>37</v>
      </c>
      <c r="E13" s="8" t="s">
        <v>30</v>
      </c>
      <c r="F13" s="4">
        <v>3</v>
      </c>
      <c r="G13" s="4">
        <v>4</v>
      </c>
      <c r="H13" s="4">
        <f t="shared" si="0"/>
        <v>12</v>
      </c>
      <c r="I13" s="4" t="s">
        <v>45</v>
      </c>
      <c r="J13" s="5" t="s">
        <v>18</v>
      </c>
      <c r="K13" s="4" t="s">
        <v>24</v>
      </c>
      <c r="L13" s="4" t="s">
        <v>50</v>
      </c>
    </row>
    <row r="14" spans="3:12" ht="72" customHeight="1">
      <c r="C14" s="4" t="s">
        <v>9</v>
      </c>
      <c r="D14" s="5" t="s">
        <v>38</v>
      </c>
      <c r="E14" s="8" t="s">
        <v>31</v>
      </c>
      <c r="F14" s="4">
        <v>3</v>
      </c>
      <c r="G14" s="4">
        <v>5</v>
      </c>
      <c r="H14" s="4">
        <f t="shared" si="0"/>
        <v>15</v>
      </c>
      <c r="I14" s="4" t="s">
        <v>45</v>
      </c>
      <c r="J14" s="5" t="s">
        <v>19</v>
      </c>
      <c r="K14" s="4" t="s">
        <v>25</v>
      </c>
      <c r="L14" s="4" t="s">
        <v>48</v>
      </c>
    </row>
    <row r="19" spans="4:4" ht="17" customHeight="1">
      <c r="D19" s="1" t="s">
        <v>51</v>
      </c>
    </row>
    <row r="20" spans="4:4">
      <c r="D20" s="1" t="s">
        <v>52</v>
      </c>
    </row>
    <row r="21" spans="4:4">
      <c r="D21" s="1" t="s">
        <v>53</v>
      </c>
    </row>
    <row r="22" spans="4:4">
      <c r="D22" s="1" t="s">
        <v>54</v>
      </c>
    </row>
    <row r="23" spans="4:4">
      <c r="D23" s="1" t="s">
        <v>55</v>
      </c>
    </row>
  </sheetData>
  <phoneticPr fontId="1" type="noConversion"/>
  <conditionalFormatting sqref="I7:I14">
    <cfRule type="containsText" dxfId="7" priority="1" operator="containsText" text="Medium">
      <formula>NOT(ISERROR(SEARCH("Medium",I7)))</formula>
    </cfRule>
    <cfRule type="containsText" dxfId="6" priority="2" operator="containsText" text="High">
      <formula>NOT(ISERROR(SEARCH("High",I7)))</formula>
    </cfRule>
    <cfRule type="containsText" dxfId="5" priority="4" operator="containsText" text="High">
      <formula>NOT(ISERROR(SEARCH("High",I7)))</formula>
    </cfRule>
    <cfRule type="containsText" dxfId="4" priority="6" operator="containsText" text="Critical">
      <formula>NOT(ISERROR(SEARCH("Critical",I7)))</formula>
    </cfRule>
  </conditionalFormatting>
  <dataValidations count="1">
    <dataValidation type="list" allowBlank="1" showInputMessage="1" showErrorMessage="1" sqref="F7:F14 G7" xr:uid="{09317166-BC59-A241-AA54-D71F886F1942}">
      <formula1>"1, 2, 3, 4, 5"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E096-FDC7-B144-9172-3933A3C7A18D}">
  <dimension ref="C3:I18"/>
  <sheetViews>
    <sheetView topLeftCell="B1" zoomScale="130" zoomScaleNormal="130" workbookViewId="0">
      <selection activeCell="J4" sqref="J4"/>
    </sheetView>
  </sheetViews>
  <sheetFormatPr baseColWidth="10" defaultRowHeight="16"/>
  <cols>
    <col min="3" max="3" width="12.1640625" customWidth="1"/>
    <col min="4" max="4" width="13.6640625" customWidth="1"/>
    <col min="5" max="5" width="30.33203125" customWidth="1"/>
    <col min="6" max="6" width="12" customWidth="1"/>
    <col min="7" max="7" width="29.6640625" customWidth="1"/>
    <col min="8" max="8" width="14.1640625" customWidth="1"/>
    <col min="9" max="9" width="14" customWidth="1"/>
    <col min="10" max="10" width="11.83203125" customWidth="1"/>
    <col min="11" max="11" width="38.1640625" customWidth="1"/>
    <col min="12" max="12" width="16.5" customWidth="1"/>
    <col min="13" max="13" width="17.83203125" customWidth="1"/>
  </cols>
  <sheetData>
    <row r="3" spans="3:9" ht="26" customHeight="1"/>
    <row r="5" spans="3:9" ht="31" customHeight="1"/>
    <row r="6" spans="3:9">
      <c r="C6" s="3" t="s">
        <v>0</v>
      </c>
      <c r="D6" s="3" t="s">
        <v>97</v>
      </c>
      <c r="E6" s="3" t="s">
        <v>95</v>
      </c>
      <c r="F6" s="3" t="s">
        <v>96</v>
      </c>
      <c r="G6" s="3" t="s">
        <v>79</v>
      </c>
      <c r="H6" s="3" t="s">
        <v>12</v>
      </c>
      <c r="I6" s="3" t="s">
        <v>47</v>
      </c>
    </row>
    <row r="7" spans="3:9" ht="60" customHeight="1">
      <c r="C7" s="4" t="s">
        <v>56</v>
      </c>
      <c r="D7" s="4" t="s">
        <v>98</v>
      </c>
      <c r="E7" s="5" t="s">
        <v>60</v>
      </c>
      <c r="F7" s="4" t="s">
        <v>45</v>
      </c>
      <c r="G7" s="5" t="s">
        <v>64</v>
      </c>
      <c r="H7" s="4" t="s">
        <v>68</v>
      </c>
      <c r="I7" s="4" t="s">
        <v>105</v>
      </c>
    </row>
    <row r="8" spans="3:9" ht="59" customHeight="1">
      <c r="C8" s="4" t="s">
        <v>57</v>
      </c>
      <c r="D8" s="4" t="s">
        <v>98</v>
      </c>
      <c r="E8" s="5" t="s">
        <v>61</v>
      </c>
      <c r="F8" s="4" t="s">
        <v>46</v>
      </c>
      <c r="G8" s="5" t="s">
        <v>65</v>
      </c>
      <c r="H8" s="4" t="s">
        <v>69</v>
      </c>
      <c r="I8" s="4" t="s">
        <v>105</v>
      </c>
    </row>
    <row r="9" spans="3:9" ht="57" customHeight="1">
      <c r="C9" s="4" t="s">
        <v>58</v>
      </c>
      <c r="D9" s="4" t="s">
        <v>98</v>
      </c>
      <c r="E9" s="9" t="s">
        <v>62</v>
      </c>
      <c r="F9" s="4" t="s">
        <v>45</v>
      </c>
      <c r="G9" s="5" t="s">
        <v>66</v>
      </c>
      <c r="H9" s="4" t="s">
        <v>24</v>
      </c>
      <c r="I9" s="4" t="s">
        <v>50</v>
      </c>
    </row>
    <row r="10" spans="3:9" ht="55" customHeight="1">
      <c r="C10" s="4" t="s">
        <v>59</v>
      </c>
      <c r="D10" s="4" t="s">
        <v>98</v>
      </c>
      <c r="E10" s="9" t="s">
        <v>63</v>
      </c>
      <c r="F10" s="4" t="s">
        <v>45</v>
      </c>
      <c r="G10" s="5" t="s">
        <v>67</v>
      </c>
      <c r="H10" s="4" t="s">
        <v>70</v>
      </c>
      <c r="I10" s="4" t="s">
        <v>105</v>
      </c>
    </row>
    <row r="11" spans="3:9" ht="43" customHeight="1">
      <c r="C11" s="8" t="s">
        <v>71</v>
      </c>
      <c r="D11" s="8" t="s">
        <v>99</v>
      </c>
      <c r="E11" s="9" t="s">
        <v>75</v>
      </c>
      <c r="F11" s="8" t="s">
        <v>45</v>
      </c>
      <c r="G11" s="9" t="s">
        <v>80</v>
      </c>
      <c r="H11" s="8" t="s">
        <v>69</v>
      </c>
      <c r="I11" s="8" t="s">
        <v>50</v>
      </c>
    </row>
    <row r="12" spans="3:9" ht="44" customHeight="1">
      <c r="C12" s="8" t="s">
        <v>72</v>
      </c>
      <c r="D12" s="8" t="s">
        <v>99</v>
      </c>
      <c r="E12" s="9" t="s">
        <v>76</v>
      </c>
      <c r="F12" s="8" t="s">
        <v>45</v>
      </c>
      <c r="G12" s="9" t="s">
        <v>81</v>
      </c>
      <c r="H12" s="8" t="s">
        <v>84</v>
      </c>
      <c r="I12" s="8" t="s">
        <v>50</v>
      </c>
    </row>
    <row r="13" spans="3:9" ht="44" customHeight="1">
      <c r="C13" s="8" t="s">
        <v>73</v>
      </c>
      <c r="D13" s="8" t="s">
        <v>99</v>
      </c>
      <c r="E13" s="5" t="s">
        <v>77</v>
      </c>
      <c r="F13" s="8" t="s">
        <v>46</v>
      </c>
      <c r="G13" s="9" t="s">
        <v>82</v>
      </c>
      <c r="H13" s="8" t="s">
        <v>85</v>
      </c>
      <c r="I13" s="8" t="s">
        <v>50</v>
      </c>
    </row>
    <row r="14" spans="3:9" ht="55" customHeight="1">
      <c r="C14" s="8" t="s">
        <v>74</v>
      </c>
      <c r="D14" s="8" t="s">
        <v>99</v>
      </c>
      <c r="E14" s="5" t="s">
        <v>78</v>
      </c>
      <c r="F14" s="8" t="s">
        <v>46</v>
      </c>
      <c r="G14" s="9" t="s">
        <v>83</v>
      </c>
      <c r="H14" s="8" t="s">
        <v>21</v>
      </c>
      <c r="I14" s="8" t="s">
        <v>48</v>
      </c>
    </row>
    <row r="15" spans="3:9" ht="40" customHeight="1">
      <c r="C15" s="8" t="s">
        <v>86</v>
      </c>
      <c r="D15" s="8" t="s">
        <v>100</v>
      </c>
      <c r="E15" s="9" t="s">
        <v>90</v>
      </c>
      <c r="F15" s="8" t="s">
        <v>45</v>
      </c>
      <c r="G15" s="5" t="s">
        <v>101</v>
      </c>
      <c r="H15" s="8" t="s">
        <v>94</v>
      </c>
      <c r="I15" s="8" t="s">
        <v>105</v>
      </c>
    </row>
    <row r="16" spans="3:9" ht="57" customHeight="1">
      <c r="C16" s="8" t="s">
        <v>87</v>
      </c>
      <c r="D16" s="8" t="s">
        <v>100</v>
      </c>
      <c r="E16" s="9" t="s">
        <v>91</v>
      </c>
      <c r="F16" s="8" t="s">
        <v>45</v>
      </c>
      <c r="G16" s="5" t="s">
        <v>102</v>
      </c>
      <c r="H16" s="8" t="s">
        <v>24</v>
      </c>
      <c r="I16" s="8" t="s">
        <v>50</v>
      </c>
    </row>
    <row r="17" spans="3:9" ht="58" customHeight="1">
      <c r="C17" s="8" t="s">
        <v>88</v>
      </c>
      <c r="D17" s="8" t="s">
        <v>100</v>
      </c>
      <c r="E17" s="9" t="s">
        <v>92</v>
      </c>
      <c r="F17" s="8" t="s">
        <v>46</v>
      </c>
      <c r="G17" s="5" t="s">
        <v>103</v>
      </c>
      <c r="H17" s="8" t="s">
        <v>20</v>
      </c>
      <c r="I17" s="8" t="s">
        <v>105</v>
      </c>
    </row>
    <row r="18" spans="3:9" ht="59" customHeight="1">
      <c r="C18" s="8" t="s">
        <v>89</v>
      </c>
      <c r="D18" s="8" t="s">
        <v>100</v>
      </c>
      <c r="E18" s="9" t="s">
        <v>93</v>
      </c>
      <c r="F18" s="8" t="s">
        <v>45</v>
      </c>
      <c r="G18" s="5" t="s">
        <v>104</v>
      </c>
      <c r="H18" s="8" t="s">
        <v>25</v>
      </c>
      <c r="I18" s="8" t="s">
        <v>48</v>
      </c>
    </row>
  </sheetData>
  <phoneticPr fontId="1" type="noConversion"/>
  <conditionalFormatting sqref="F7:F18">
    <cfRule type="containsText" dxfId="3" priority="1" operator="containsText" text="Medium">
      <formula>NOT(ISERROR(SEARCH("Medium",F7)))</formula>
    </cfRule>
    <cfRule type="containsText" dxfId="2" priority="2" operator="containsText" text="High">
      <formula>NOT(ISERROR(SEARCH("High",F7)))</formula>
    </cfRule>
    <cfRule type="containsText" dxfId="1" priority="3" operator="containsText" text="High">
      <formula>NOT(ISERROR(SEARCH("High",F7)))</formula>
    </cfRule>
    <cfRule type="containsText" dxfId="0" priority="4" operator="containsText" text="Critical">
      <formula>NOT(ISERROR(SEARCH("Critical",F7)))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Risks</vt:lpstr>
      <vt:lpstr>AID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Gajendrachar</dc:creator>
  <cp:lastModifiedBy>Meghana Gajendrachar</cp:lastModifiedBy>
  <dcterms:created xsi:type="dcterms:W3CDTF">2026-09-02T12:13:11Z</dcterms:created>
  <dcterms:modified xsi:type="dcterms:W3CDTF">2026-09-18T13:20:45Z</dcterms:modified>
</cp:coreProperties>
</file>